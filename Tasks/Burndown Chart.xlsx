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3076428_student_swin_edu_au/Documents/Semester 2 - 2023/SWE20001 - Managing Software Projects/Tasks/"/>
    </mc:Choice>
  </mc:AlternateContent>
  <xr:revisionPtr revIDLastSave="525" documentId="8_{9FEA4B5F-69F1-4DF2-8D15-D187BA3A25F8}" xr6:coauthVersionLast="47" xr6:coauthVersionMax="47" xr10:uidLastSave="{0BF7195F-6708-41E8-9409-D40F848214FC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2" l="1"/>
  <c r="O27" i="2"/>
  <c r="E26" i="2"/>
  <c r="F26" i="2"/>
  <c r="G26" i="2"/>
  <c r="H26" i="2"/>
  <c r="I26" i="2"/>
  <c r="J26" i="2"/>
  <c r="K26" i="2"/>
  <c r="L26" i="2"/>
  <c r="M26" i="2"/>
  <c r="N26" i="2"/>
  <c r="D28" i="2"/>
  <c r="D29" i="2"/>
  <c r="E28" i="2"/>
  <c r="N27" i="2"/>
  <c r="M27" i="2"/>
  <c r="L27" i="2"/>
  <c r="K27" i="2"/>
  <c r="J27" i="2"/>
  <c r="I27" i="2"/>
  <c r="H27" i="2"/>
  <c r="G27" i="2"/>
  <c r="F27" i="2"/>
  <c r="E27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F28" i="2" l="1"/>
  <c r="E29" i="2"/>
  <c r="F29" i="2" l="1"/>
  <c r="G29" i="2" s="1"/>
  <c r="H29" i="2" s="1"/>
  <c r="I29" i="2" s="1"/>
  <c r="J29" i="2" s="1"/>
  <c r="K29" i="2" s="1"/>
  <c r="L29" i="2" s="1"/>
  <c r="M29" i="2" s="1"/>
  <c r="N29" i="2" s="1"/>
  <c r="G28" i="2"/>
  <c r="H28" i="2" s="1"/>
  <c r="I28" i="2" s="1"/>
  <c r="J28" i="2" s="1"/>
  <c r="K28" i="2" s="1"/>
  <c r="L28" i="2" s="1"/>
  <c r="M28" i="2" s="1"/>
  <c r="N28" i="2" s="1"/>
  <c r="O3" i="2"/>
  <c r="O4" i="2"/>
</calcChain>
</file>

<file path=xl/sharedStrings.xml><?xml version="1.0" encoding="utf-8"?>
<sst xmlns="http://schemas.openxmlformats.org/spreadsheetml/2006/main" count="95" uniqueCount="94">
  <si>
    <t>Initial Estimate</t>
  </si>
  <si>
    <t>Remaining Effort</t>
  </si>
  <si>
    <t>Planned Hours</t>
  </si>
  <si>
    <t>Ideal Burndown</t>
  </si>
  <si>
    <t>Start</t>
  </si>
  <si>
    <t>Feature</t>
  </si>
  <si>
    <t>Actual Hours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</si>
  <si>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</si>
  <si>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</si>
  <si>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</si>
  <si>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</si>
  <si>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</si>
  <si>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</si>
  <si>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</si>
  <si>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</si>
  <si>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</si>
  <si>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</si>
  <si>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Points Left</t>
  </si>
  <si>
    <t>Create database table for members</t>
  </si>
  <si>
    <t>Create database table for sales</t>
  </si>
  <si>
    <t>Create database table for products</t>
  </si>
  <si>
    <t>Create endpoint for retrieving members</t>
  </si>
  <si>
    <t>Create endpoint for retrieving products</t>
  </si>
  <si>
    <t>Create endpoint for retrieving sales records</t>
  </si>
  <si>
    <t>Create endpoint for adding members</t>
  </si>
  <si>
    <t>Create endpoint for editing members</t>
  </si>
  <si>
    <t>Create endpoint for removing members</t>
  </si>
  <si>
    <t>Create endpoint for adding sales records</t>
  </si>
  <si>
    <t>Create endpoint for editing sales records</t>
  </si>
  <si>
    <t>Create endpoint for removing sales records</t>
  </si>
  <si>
    <t>Create endpoint for adding products</t>
  </si>
  <si>
    <t>Create endpoint for editing products</t>
  </si>
  <si>
    <t>Create endpoint for removing products</t>
  </si>
  <si>
    <t>User Authentication and account management</t>
  </si>
  <si>
    <t>Build web page to allow users to add new Members</t>
  </si>
  <si>
    <t>Build web page to allow users to edit/delete existing members</t>
  </si>
  <si>
    <t>Generate Sales Reports</t>
  </si>
  <si>
    <t>Generate Inventory Reports</t>
  </si>
  <si>
    <t>JIRA ID</t>
  </si>
  <si>
    <t>Backlog ID</t>
  </si>
  <si>
    <t>F10</t>
  </si>
  <si>
    <t>F15</t>
  </si>
  <si>
    <t>F13</t>
  </si>
  <si>
    <t>F14</t>
  </si>
  <si>
    <t>F11</t>
  </si>
  <si>
    <t>F12</t>
  </si>
  <si>
    <t>F18</t>
  </si>
  <si>
    <t>F19</t>
  </si>
  <si>
    <t>F20</t>
  </si>
  <si>
    <t>F17</t>
  </si>
  <si>
    <t>MCT-26</t>
  </si>
  <si>
    <t>MCT-24</t>
  </si>
  <si>
    <t>MCT-42</t>
  </si>
  <si>
    <t>MCT-28</t>
  </si>
  <si>
    <t>MCT-27</t>
  </si>
  <si>
    <t>MCT-11</t>
  </si>
  <si>
    <t>MCT-12</t>
  </si>
  <si>
    <t>MCT-16</t>
  </si>
  <si>
    <t>MCT-18</t>
  </si>
  <si>
    <t>MCT-21</t>
  </si>
  <si>
    <t>MCT-15</t>
  </si>
  <si>
    <t>MCT-20</t>
  </si>
  <si>
    <t>MCT-14</t>
  </si>
  <si>
    <t>MCT-19</t>
  </si>
  <si>
    <t>MCT-9</t>
  </si>
  <si>
    <t>MCT-13</t>
  </si>
  <si>
    <t>MCT-8</t>
  </si>
  <si>
    <t>MCT-7</t>
  </si>
  <si>
    <t>MCT-47</t>
  </si>
  <si>
    <t>MCT-48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</si>
  <si>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</si>
  <si>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</si>
  <si>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</si>
  <si>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</si>
  <si>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</si>
  <si>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</si>
  <si>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</si>
  <si>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</si>
  <si>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</si>
  <si>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4/09/2023</t>
  </si>
  <si>
    <t>5-Sep</t>
  </si>
  <si>
    <t>6-Sep</t>
  </si>
  <si>
    <t>7-Sep</t>
  </si>
  <si>
    <t>8-Sep</t>
  </si>
  <si>
    <t>18-Sep</t>
  </si>
  <si>
    <t>19-Sep</t>
  </si>
  <si>
    <t>20-Sep</t>
  </si>
  <si>
    <t>21-Sep</t>
  </si>
  <si>
    <t>22-Sep</t>
  </si>
  <si>
    <t>Dev</t>
  </si>
  <si>
    <t>Testing</t>
  </si>
  <si>
    <t>Effort</t>
  </si>
  <si>
    <t>Average</t>
  </si>
  <si>
    <t>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</si>
</sst>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BA9E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2" fillId="0" borderId="3" xfId="0" applyNumberFormat="1" applyFont="1" applyBorder="1"/>
    <xf numFmtId="16" fontId="2" fillId="0" borderId="3" xfId="0" applyNumberFormat="1" applyFont="1" applyBorder="1"/>
    <xf numFmtId="0" fontId="0" fillId="0" borderId="4" xfId="0" applyBorder="1"/>
    <xf numFmtId="0" fontId="0" fillId="2" borderId="3" xfId="0" applyFill="1" applyBorder="1"/>
    <xf numFmtId="0" fontId="0" fillId="2" borderId="1" xfId="0" applyFill="1" applyBorder="1"/>
    <xf numFmtId="0" fontId="0" fillId="3" borderId="3" xfId="0" applyFill="1" applyBorder="1"/>
    <xf numFmtId="0" fontId="0" fillId="3" borderId="1" xfId="0" applyFill="1" applyBorder="1"/>
    <xf numFmtId="0" fontId="0" fillId="3" borderId="8" xfId="0" applyFill="1" applyBorder="1"/>
    <xf numFmtId="0" fontId="0" fillId="2" borderId="8" xfId="0" applyFill="1" applyBorder="1"/>
    <xf numFmtId="0" fontId="2" fillId="0" borderId="2" xfId="0" applyFont="1" applyBorder="1"/>
    <xf numFmtId="0" fontId="1" fillId="0" borderId="3" xfId="0" applyFont="1" applyBorder="1"/>
    <xf numFmtId="0" fontId="3" fillId="0" borderId="5" xfId="0" applyFont="1" applyBorder="1"/>
    <xf numFmtId="0" fontId="3" fillId="0" borderId="7" xfId="0" applyFont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8" xfId="0" applyFill="1" applyBorder="1"/>
    <xf numFmtId="0" fontId="2" fillId="0" borderId="3" xfId="0" applyFont="1" applyFill="1" applyBorder="1"/>
  </cellXfs>
  <cellStyles count="1">
    <cellStyle name="Normal" xfId="0" builtinId="0"/>
  </cellStyles>
  <dxfs count="38"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theme="4" tint="0.79998168889431442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none">
          <fgColor theme="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BA9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GotoGro MRM - </a:t>
            </a:r>
            <a:r>
              <a:rPr lang="en-AU" b="1" i="0">
                <a:effectLst/>
              </a:rPr>
              <a:t>MSP_CL4_T1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Sheet1!$C$26</c:f>
              <c:strCache>
                <c:ptCount val="1"/>
                <c:pt idx="0">
                  <c:v>Planned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Sheet1!$D$25:$N$25</c:f>
              <c:strCache>
                <c:ptCount val="11"/>
                <c:pt idx="0">
                  <c:v>Start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</c:strCache>
            </c:strRef>
          </c:cat>
          <c:val>
            <c:numRef>
              <c:f>Sheet1!$D$26:$N$26</c:f>
              <c:numCache>
                <c:formatCode>General</c:formatCode>
                <c:ptCount val="11"/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7.9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1-484A-BD0E-FE50C5084D7C}"/>
            </c:ext>
          </c:extLst>
        </c:ser>
        <c:ser>
          <c:idx val="1"/>
          <c:order val="1"/>
          <c:tx>
            <c:strRef>
              <c:f>Sheet1!$C$27</c:f>
              <c:strCache>
                <c:ptCount val="1"/>
                <c:pt idx="0">
                  <c:v>Actual Hours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Sheet1!$D$25:$N$25</c:f>
              <c:strCache>
                <c:ptCount val="11"/>
                <c:pt idx="0">
                  <c:v>Start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</c:strCache>
            </c:strRef>
          </c:cat>
          <c:val>
            <c:numRef>
              <c:f>Sheet1!$D$27:$N$27</c:f>
              <c:numCache>
                <c:formatCode>General</c:formatCode>
                <c:ptCount val="11"/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1-484A-BD0E-FE50C5084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231920"/>
        <c:axId val="69524128"/>
      </c:barChart>
      <c:lineChart>
        <c:grouping val="standard"/>
        <c:varyColors val="0"/>
        <c:ser>
          <c:idx val="2"/>
          <c:order val="2"/>
          <c:tx>
            <c:strRef>
              <c:f>Sheet1!$C$28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Sheet1!$D$25:$N$25</c:f>
              <c:strCache>
                <c:ptCount val="11"/>
                <c:pt idx="0">
                  <c:v>Start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</c:strCache>
            </c:strRef>
          </c:cat>
          <c:val>
            <c:numRef>
              <c:f>Sheet1!$D$28:$N$28</c:f>
              <c:numCache>
                <c:formatCode>General</c:formatCode>
                <c:ptCount val="11"/>
                <c:pt idx="0">
                  <c:v>79</c:v>
                </c:pt>
                <c:pt idx="1">
                  <c:v>73</c:v>
                </c:pt>
                <c:pt idx="2">
                  <c:v>67</c:v>
                </c:pt>
                <c:pt idx="3">
                  <c:v>61</c:v>
                </c:pt>
                <c:pt idx="4">
                  <c:v>51</c:v>
                </c:pt>
                <c:pt idx="5">
                  <c:v>38</c:v>
                </c:pt>
                <c:pt idx="6">
                  <c:v>31</c:v>
                </c:pt>
                <c:pt idx="7">
                  <c:v>25</c:v>
                </c:pt>
                <c:pt idx="8">
                  <c:v>19</c:v>
                </c:pt>
                <c:pt idx="9">
                  <c:v>11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1-484A-BD0E-FE50C5084D7C}"/>
            </c:ext>
          </c:extLst>
        </c:ser>
        <c:ser>
          <c:idx val="3"/>
          <c:order val="3"/>
          <c:tx>
            <c:strRef>
              <c:f>Sheet1!$C$29</c:f>
              <c:strCache>
                <c:ptCount val="1"/>
                <c:pt idx="0">
                  <c:v>Ideal Burndown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Sheet1!$D$25:$N$25</c:f>
              <c:strCache>
                <c:ptCount val="11"/>
                <c:pt idx="0">
                  <c:v>Start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</c:strCache>
            </c:strRef>
          </c:cat>
          <c:val>
            <c:numRef>
              <c:f>Sheet1!$D$29:$N$29</c:f>
              <c:numCache>
                <c:formatCode>General</c:formatCode>
                <c:ptCount val="11"/>
                <c:pt idx="0">
                  <c:v>79</c:v>
                </c:pt>
                <c:pt idx="1">
                  <c:v>71.099999999999994</c:v>
                </c:pt>
                <c:pt idx="2">
                  <c:v>63.199999999999996</c:v>
                </c:pt>
                <c:pt idx="3">
                  <c:v>55.3</c:v>
                </c:pt>
                <c:pt idx="4">
                  <c:v>47.4</c:v>
                </c:pt>
                <c:pt idx="5">
                  <c:v>39.5</c:v>
                </c:pt>
                <c:pt idx="6">
                  <c:v>31.6</c:v>
                </c:pt>
                <c:pt idx="7">
                  <c:v>23.700000000000003</c:v>
                </c:pt>
                <c:pt idx="8">
                  <c:v>15.800000000000002</c:v>
                </c:pt>
                <c:pt idx="9">
                  <c:v>7.9000000000000021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1-484A-BD0E-FE50C5084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459152"/>
        <c:axId val="69504576"/>
      </c:lineChart>
      <c:catAx>
        <c:axId val="204645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4576"/>
        <c:crosses val="autoZero"/>
        <c:auto val="1"/>
        <c:lblAlgn val="ctr"/>
        <c:lblOffset val="100"/>
        <c:noMultiLvlLbl val="0"/>
      </c:catAx>
      <c:valAx>
        <c:axId val="695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459152"/>
        <c:crosses val="autoZero"/>
        <c:crossBetween val="between"/>
      </c:valAx>
      <c:valAx>
        <c:axId val="69524128"/>
        <c:scaling>
          <c:orientation val="minMax"/>
          <c:max val="3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31920"/>
        <c:crosses val="max"/>
        <c:crossBetween val="between"/>
      </c:valAx>
      <c:catAx>
        <c:axId val="2097231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2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792925</xdr:colOff>
      <xdr:row>2</xdr:row>
      <xdr:rowOff>141961</xdr:rowOff>
    </xdr:from>
    <xdr:to>
      <xdr:col>16</xdr:col>
      <xdr:colOff>2762250</xdr:colOff>
      <xdr:row>25</xdr:row>
      <xdr:rowOff>59988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C47F7-1722-4B52-B41F-67C6361A2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682833-D1E2-4B70-8167-E72DA824CF32}" name="Table3" displayName="Table3" ref="A1:O21" totalsRowShown="0" headerRowDxfId="37" dataDxfId="35" headerRowBorderDxfId="36" tableBorderDxfId="34" totalsRowBorderDxfId="33">
  <autoFilter ref="A1:O21" xr:uid="{A1682833-D1E2-4B70-8167-E72DA824CF32}"/>
  <sortState xmlns:xlrd2="http://schemas.microsoft.com/office/spreadsheetml/2017/richdata2" ref="B2:O21">
    <sortCondition ref="B21"/>
  </sortState>
  <tableColumns count="15">
    <tableColumn id="16" xr3:uid="{6257DC4B-340B-44E0-9047-E65797A62124}" name="Feature" dataDxfId="32"/>
    <tableColumn id="1" xr3:uid="{3D9A2184-B5D9-4F05-8945-0A349504F8E1}" name="Backlog ID" dataDxfId="31"/>
    <tableColumn id="2" xr3:uid="{4C04B4CA-0577-4064-B4AB-C544C19E655F}" name="JIRA ID" dataDxfId="30"/>
    <tableColumn id="3" xr3:uid="{7915ACF4-B1E4-4DAF-8DEE-782B2567DC19}" name="Initial Estimate" dataDxfId="29"/>
    <tableColumn id="4" xr3:uid="{62142210-6425-479A-A443-28F23E7D38C4}" name="4/09/2023" dataDxfId="28"/>
    <tableColumn id="5" xr3:uid="{7DF51A80-7DBD-4E9E-A501-58784E101006}" name="5-Sep" dataDxfId="27"/>
    <tableColumn id="6" xr3:uid="{9AD5197C-F588-4F4C-839D-30B4F0D7843C}" name="6-Sep" dataDxfId="26"/>
    <tableColumn id="7" xr3:uid="{8571BF56-F0E9-4B32-8754-C15A6596946E}" name="7-Sep" dataDxfId="25"/>
    <tableColumn id="8" xr3:uid="{D11E3CF4-7003-48A9-B783-6F27D65D4616}" name="8-Sep" dataDxfId="24"/>
    <tableColumn id="9" xr3:uid="{9249E8D3-976E-4B15-BA7B-01FAB41B0CE9}" name="18-Sep" dataDxfId="23"/>
    <tableColumn id="10" xr3:uid="{ECAA45D1-2E5F-4095-ACB9-8F0A6681FD6A}" name="19-Sep" dataDxfId="22"/>
    <tableColumn id="11" xr3:uid="{0690F771-38E7-4A52-B68E-B729F727D2FB}" name="20-Sep" dataDxfId="21"/>
    <tableColumn id="12" xr3:uid="{37245EC2-6704-4D80-8B2A-BAFDE35AB2CB}" name="21-Sep" dataDxfId="20"/>
    <tableColumn id="13" xr3:uid="{F6868FB9-1FA4-4F27-9436-5FD9F7EBA4CE}" name="22-Sep" dataDxfId="19"/>
    <tableColumn id="14" xr3:uid="{64E96F5E-8A0E-48FE-ADEC-4C2525DA4BEB}" name="Points Left" dataDxfId="18">
      <calculatedColumnFormula>D2-(SUM(E2:N2))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433B3A-F258-4EE2-A65B-63D44706B918}" name="Table4" displayName="Table4" ref="C25:O29" totalsRowShown="0" headerRowDxfId="17" dataDxfId="15" headerRowBorderDxfId="16" tableBorderDxfId="14" totalsRowBorderDxfId="13">
  <autoFilter ref="C25:O29" xr:uid="{3D433B3A-F258-4EE2-A65B-63D44706B918}"/>
  <tableColumns count="13">
    <tableColumn id="1" xr3:uid="{78AF7557-3071-48FD-811F-41C27B10EF8A}" name="Setting" dataDxfId="12"/>
    <tableColumn id="2" xr3:uid="{20214C1A-BA83-4167-B1F3-06939DE4B33E}" name="Start" dataDxfId="11"/>
    <tableColumn id="3" xr3:uid="{6F8635F7-9923-4455-9202-D8D87A0C027A}" name="Day 1" dataDxfId="10"/>
    <tableColumn id="4" xr3:uid="{AA2BFE67-5013-4163-BF92-F9A4278A91DB}" name="Day 2" dataDxfId="9"/>
    <tableColumn id="5" xr3:uid="{D7483412-A3DB-4D0A-9226-0AF79E9345BF}" name="Day 3" dataDxfId="8"/>
    <tableColumn id="6" xr3:uid="{E7A05513-4DDD-469B-B488-F97546CB6724}" name="Day 4" dataDxfId="7"/>
    <tableColumn id="7" xr3:uid="{BBBBF7FA-BD58-436B-95D4-9BFE5F85F517}" name="Day 5" dataDxfId="6"/>
    <tableColumn id="8" xr3:uid="{79970D2D-A8D2-43ED-BC58-241A6D521034}" name="Day 6" dataDxfId="5"/>
    <tableColumn id="9" xr3:uid="{4328DC7D-8625-4FEA-8F32-E73DE53C97D0}" name="Day 7" dataDxfId="4"/>
    <tableColumn id="10" xr3:uid="{E28C28EB-DC90-4A80-9A23-2FFBDC113123}" name="Day 8" dataDxfId="3"/>
    <tableColumn id="11" xr3:uid="{05DB74B8-B137-4DC5-96D8-9CBB2AFD45E0}" name="Day 9" dataDxfId="2"/>
    <tableColumn id="12" xr3:uid="{13DFF54D-58E6-4167-A33D-87F6C88D29C3}" name="Day 10" dataDxfId="1"/>
    <tableColumn id="13" xr3:uid="{145F0D1C-A33E-4931-AD54-D8CA2322C829}" name="Average" dataDxfId="0">
      <calculatedColumnFormula>AVERAGE(Table4[[#This Row],[Day 1]:[Day 10]])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A665-88C7-4222-B918-AB1BED6AEF55}">
  <dimension ref="A1:S29"/>
  <sheetViews>
    <sheetView tabSelected="1" zoomScaleNormal="100" workbookViewId="0">
      <selection activeCell="J35" sqref="J35"/>
    </sheetView>
  </sheetViews>
  <sheetFormatPr defaultColWidth="61.42578125" defaultRowHeight="15" x14ac:dyDescent="0.25"/>
  <cols>
    <col min="1" max="1" width="53.28515625" bestFit="1" customWidth="1"/>
    <col min="2" max="2" width="12.42578125" bestFit="1" customWidth="1"/>
    <col min="3" max="3" width="14.85546875" bestFit="1" customWidth="1"/>
    <col min="4" max="4" width="16.5703125" bestFit="1" customWidth="1"/>
    <col min="5" max="5" width="12.85546875" bestFit="1" customWidth="1"/>
    <col min="6" max="9" width="8.42578125" bestFit="1" customWidth="1"/>
    <col min="10" max="14" width="9.5703125" bestFit="1" customWidth="1"/>
    <col min="15" max="15" width="12.7109375" bestFit="1" customWidth="1"/>
    <col min="18" max="18" width="4.140625" bestFit="1" customWidth="1"/>
    <col min="19" max="19" width="6.85546875" bestFit="1" customWidth="1"/>
  </cols>
  <sheetData>
    <row r="1" spans="1:19" x14ac:dyDescent="0.25">
      <c r="A1" s="3" t="s">
        <v>5</v>
      </c>
      <c r="B1" s="1" t="s">
        <v>39</v>
      </c>
      <c r="C1" s="2" t="s">
        <v>38</v>
      </c>
      <c r="D1" s="3" t="s">
        <v>0</v>
      </c>
      <c r="E1" s="11" t="s">
        <v>79</v>
      </c>
      <c r="F1" s="12" t="s">
        <v>80</v>
      </c>
      <c r="G1" s="12" t="s">
        <v>81</v>
      </c>
      <c r="H1" s="12" t="s">
        <v>82</v>
      </c>
      <c r="I1" s="12" t="s">
        <v>83</v>
      </c>
      <c r="J1" s="12" t="s">
        <v>84</v>
      </c>
      <c r="K1" s="12" t="s">
        <v>85</v>
      </c>
      <c r="L1" s="12" t="s">
        <v>86</v>
      </c>
      <c r="M1" s="12" t="s">
        <v>87</v>
      </c>
      <c r="N1" s="12" t="s">
        <v>88</v>
      </c>
      <c r="O1" s="3" t="s">
        <v>17</v>
      </c>
    </row>
    <row r="2" spans="1:19" x14ac:dyDescent="0.25">
      <c r="A2" s="6" t="s">
        <v>18</v>
      </c>
      <c r="B2" s="5" t="s">
        <v>70</v>
      </c>
      <c r="C2" s="6" t="s">
        <v>67</v>
      </c>
      <c r="D2" s="6">
        <v>3</v>
      </c>
      <c r="E2" s="14">
        <v>2</v>
      </c>
      <c r="F2" s="16">
        <v>1</v>
      </c>
      <c r="G2" s="2"/>
      <c r="H2" s="2"/>
      <c r="I2" s="2"/>
      <c r="J2" s="2"/>
      <c r="K2" s="2"/>
      <c r="L2" s="2"/>
      <c r="M2" s="2"/>
      <c r="N2" s="2"/>
      <c r="O2" s="13">
        <f t="shared" ref="O2:O21" si="0">D2-(SUM(E2:N2))</f>
        <v>0</v>
      </c>
      <c r="R2" s="24" t="s">
        <v>91</v>
      </c>
      <c r="S2" s="24"/>
    </row>
    <row r="3" spans="1:19" x14ac:dyDescent="0.25">
      <c r="A3" s="6" t="s">
        <v>19</v>
      </c>
      <c r="B3" s="5" t="s">
        <v>71</v>
      </c>
      <c r="C3" s="6" t="s">
        <v>66</v>
      </c>
      <c r="D3" s="6">
        <v>3</v>
      </c>
      <c r="E3" s="15">
        <v>2</v>
      </c>
      <c r="F3" s="17">
        <v>1</v>
      </c>
      <c r="G3" s="6"/>
      <c r="H3" s="6"/>
      <c r="I3" s="6"/>
      <c r="J3" s="6"/>
      <c r="K3" s="6"/>
      <c r="L3" s="6"/>
      <c r="M3" s="6"/>
      <c r="N3" s="6"/>
      <c r="O3" s="7">
        <f t="shared" si="0"/>
        <v>0</v>
      </c>
      <c r="R3" s="15" t="s">
        <v>89</v>
      </c>
      <c r="S3" s="17" t="s">
        <v>90</v>
      </c>
    </row>
    <row r="4" spans="1:19" x14ac:dyDescent="0.25">
      <c r="A4" s="6" t="s">
        <v>20</v>
      </c>
      <c r="B4" s="5" t="s">
        <v>72</v>
      </c>
      <c r="C4" s="6" t="s">
        <v>64</v>
      </c>
      <c r="D4" s="6">
        <v>3</v>
      </c>
      <c r="E4" s="15">
        <v>2</v>
      </c>
      <c r="F4" s="17">
        <v>1</v>
      </c>
      <c r="G4" s="6"/>
      <c r="H4" s="6"/>
      <c r="I4" s="6"/>
      <c r="J4" s="6"/>
      <c r="K4" s="6"/>
      <c r="L4" s="6"/>
      <c r="M4" s="6"/>
      <c r="N4" s="6"/>
      <c r="O4" s="7">
        <f t="shared" si="0"/>
        <v>0</v>
      </c>
    </row>
    <row r="5" spans="1:19" x14ac:dyDescent="0.25">
      <c r="A5" s="6" t="s">
        <v>24</v>
      </c>
      <c r="B5" s="5" t="s">
        <v>73</v>
      </c>
      <c r="C5" s="6" t="s">
        <v>55</v>
      </c>
      <c r="D5" s="6">
        <v>3</v>
      </c>
      <c r="E5" s="6"/>
      <c r="F5" s="6"/>
      <c r="G5" s="15">
        <v>1</v>
      </c>
      <c r="H5" s="17">
        <v>1</v>
      </c>
      <c r="I5" s="6"/>
      <c r="J5" s="6"/>
      <c r="K5" s="6"/>
      <c r="L5" s="6"/>
      <c r="M5" s="6"/>
      <c r="N5" s="6"/>
      <c r="O5" s="7">
        <f t="shared" si="0"/>
        <v>1</v>
      </c>
    </row>
    <row r="6" spans="1:19" x14ac:dyDescent="0.25">
      <c r="A6" s="6" t="s">
        <v>25</v>
      </c>
      <c r="B6" s="5" t="s">
        <v>74</v>
      </c>
      <c r="C6" s="6" t="s">
        <v>56</v>
      </c>
      <c r="D6" s="6">
        <v>3</v>
      </c>
      <c r="E6" s="6"/>
      <c r="F6" s="6"/>
      <c r="G6" s="15">
        <v>1</v>
      </c>
      <c r="H6" s="17">
        <v>1</v>
      </c>
      <c r="I6" s="6"/>
      <c r="J6" s="6"/>
      <c r="K6" s="6"/>
      <c r="L6" s="6"/>
      <c r="M6" s="6"/>
      <c r="N6" s="6"/>
      <c r="O6" s="7">
        <f t="shared" si="0"/>
        <v>1</v>
      </c>
    </row>
    <row r="7" spans="1:19" x14ac:dyDescent="0.25">
      <c r="A7" s="6" t="s">
        <v>26</v>
      </c>
      <c r="B7" s="5" t="s">
        <v>75</v>
      </c>
      <c r="C7" s="6" t="s">
        <v>65</v>
      </c>
      <c r="D7" s="6">
        <v>3</v>
      </c>
      <c r="E7" s="6"/>
      <c r="F7" s="6"/>
      <c r="G7" s="15">
        <v>1</v>
      </c>
      <c r="H7" s="17">
        <v>1</v>
      </c>
      <c r="I7" s="6"/>
      <c r="J7" s="6"/>
      <c r="K7" s="6"/>
      <c r="L7" s="6"/>
      <c r="M7" s="6"/>
      <c r="N7" s="6"/>
      <c r="O7" s="7">
        <f t="shared" si="0"/>
        <v>1</v>
      </c>
    </row>
    <row r="8" spans="1:19" x14ac:dyDescent="0.25">
      <c r="A8" s="6" t="s">
        <v>27</v>
      </c>
      <c r="B8" s="5" t="s">
        <v>76</v>
      </c>
      <c r="C8" s="6" t="s">
        <v>62</v>
      </c>
      <c r="D8" s="6">
        <v>3</v>
      </c>
      <c r="E8" s="6"/>
      <c r="F8" s="6"/>
      <c r="G8" s="6"/>
      <c r="H8" s="15">
        <v>1</v>
      </c>
      <c r="I8" s="17">
        <v>1</v>
      </c>
      <c r="J8" s="6"/>
      <c r="K8" s="6"/>
      <c r="L8" s="6"/>
      <c r="M8" s="6"/>
      <c r="N8" s="6"/>
      <c r="O8" s="7">
        <f t="shared" si="0"/>
        <v>1</v>
      </c>
    </row>
    <row r="9" spans="1:19" x14ac:dyDescent="0.25">
      <c r="A9" s="6" t="s">
        <v>28</v>
      </c>
      <c r="B9" s="5" t="s">
        <v>77</v>
      </c>
      <c r="C9" s="6" t="s">
        <v>60</v>
      </c>
      <c r="D9" s="6">
        <v>3</v>
      </c>
      <c r="E9" s="6"/>
      <c r="F9" s="6"/>
      <c r="G9" s="6"/>
      <c r="H9" s="15">
        <v>1</v>
      </c>
      <c r="I9" s="17">
        <v>1</v>
      </c>
      <c r="J9" s="6"/>
      <c r="K9" s="6"/>
      <c r="L9" s="6"/>
      <c r="M9" s="6"/>
      <c r="N9" s="6"/>
      <c r="O9" s="7">
        <f t="shared" si="0"/>
        <v>1</v>
      </c>
    </row>
    <row r="10" spans="1:19" x14ac:dyDescent="0.25">
      <c r="A10" s="6" t="s">
        <v>29</v>
      </c>
      <c r="B10" s="5" t="s">
        <v>78</v>
      </c>
      <c r="C10" s="6" t="s">
        <v>57</v>
      </c>
      <c r="D10" s="6">
        <v>3</v>
      </c>
      <c r="E10" s="6"/>
      <c r="F10" s="6"/>
      <c r="G10" s="6"/>
      <c r="H10" s="15">
        <v>1</v>
      </c>
      <c r="I10" s="17">
        <v>1</v>
      </c>
      <c r="J10" s="6"/>
      <c r="K10" s="6"/>
      <c r="L10" s="6"/>
      <c r="M10" s="6"/>
      <c r="N10" s="6"/>
      <c r="O10" s="7">
        <f t="shared" si="0"/>
        <v>1</v>
      </c>
    </row>
    <row r="11" spans="1:19" x14ac:dyDescent="0.25">
      <c r="A11" s="6" t="s">
        <v>30</v>
      </c>
      <c r="B11" s="5" t="s">
        <v>40</v>
      </c>
      <c r="C11" s="6" t="s">
        <v>58</v>
      </c>
      <c r="D11" s="6">
        <v>3</v>
      </c>
      <c r="E11" s="6"/>
      <c r="F11" s="6"/>
      <c r="G11" s="6"/>
      <c r="H11" s="6"/>
      <c r="I11" s="15">
        <v>1</v>
      </c>
      <c r="J11" s="17">
        <v>1</v>
      </c>
      <c r="K11" s="6"/>
      <c r="L11" s="6"/>
      <c r="M11" s="6"/>
      <c r="N11" s="6"/>
      <c r="O11" s="7">
        <f t="shared" si="0"/>
        <v>1</v>
      </c>
    </row>
    <row r="12" spans="1:19" x14ac:dyDescent="0.25">
      <c r="A12" s="6" t="s">
        <v>31</v>
      </c>
      <c r="B12" s="5" t="s">
        <v>44</v>
      </c>
      <c r="C12" s="6" t="s">
        <v>63</v>
      </c>
      <c r="D12" s="6">
        <v>3</v>
      </c>
      <c r="E12" s="6"/>
      <c r="F12" s="6"/>
      <c r="G12" s="6"/>
      <c r="H12" s="6"/>
      <c r="I12" s="15">
        <v>1</v>
      </c>
      <c r="J12" s="17">
        <v>1</v>
      </c>
      <c r="K12" s="6"/>
      <c r="L12" s="6"/>
      <c r="M12" s="6"/>
      <c r="N12" s="6"/>
      <c r="O12" s="7">
        <f t="shared" si="0"/>
        <v>1</v>
      </c>
    </row>
    <row r="13" spans="1:19" x14ac:dyDescent="0.25">
      <c r="A13" s="6" t="s">
        <v>32</v>
      </c>
      <c r="B13" s="5" t="s">
        <v>45</v>
      </c>
      <c r="C13" s="6" t="s">
        <v>61</v>
      </c>
      <c r="D13" s="6">
        <v>3</v>
      </c>
      <c r="E13" s="6"/>
      <c r="F13" s="6"/>
      <c r="G13" s="6"/>
      <c r="H13" s="6"/>
      <c r="I13" s="15">
        <v>1</v>
      </c>
      <c r="J13" s="17">
        <v>1</v>
      </c>
      <c r="K13" s="6"/>
      <c r="L13" s="6"/>
      <c r="M13" s="6"/>
      <c r="N13" s="6"/>
      <c r="O13" s="7">
        <f t="shared" si="0"/>
        <v>1</v>
      </c>
    </row>
    <row r="14" spans="1:19" x14ac:dyDescent="0.25">
      <c r="A14" s="6" t="s">
        <v>22</v>
      </c>
      <c r="B14" s="5" t="s">
        <v>42</v>
      </c>
      <c r="C14" s="6" t="s">
        <v>59</v>
      </c>
      <c r="D14" s="6">
        <v>3</v>
      </c>
      <c r="E14" s="6"/>
      <c r="F14" s="15">
        <v>1</v>
      </c>
      <c r="G14" s="17">
        <v>1</v>
      </c>
      <c r="H14" s="6"/>
      <c r="I14" s="6"/>
      <c r="J14" s="6"/>
      <c r="K14" s="6"/>
      <c r="L14" s="6"/>
      <c r="M14" s="6"/>
      <c r="N14" s="6"/>
      <c r="O14" s="7">
        <f t="shared" si="0"/>
        <v>1</v>
      </c>
    </row>
    <row r="15" spans="1:19" x14ac:dyDescent="0.25">
      <c r="A15" s="6" t="s">
        <v>23</v>
      </c>
      <c r="B15" s="5" t="s">
        <v>43</v>
      </c>
      <c r="C15" s="6" t="s">
        <v>69</v>
      </c>
      <c r="D15" s="6">
        <v>3</v>
      </c>
      <c r="E15" s="6"/>
      <c r="F15" s="15">
        <v>1</v>
      </c>
      <c r="G15" s="17">
        <v>1</v>
      </c>
      <c r="H15" s="6"/>
      <c r="I15" s="6"/>
      <c r="J15" s="6"/>
      <c r="K15" s="6"/>
      <c r="L15" s="6"/>
      <c r="M15" s="6"/>
      <c r="N15" s="6"/>
      <c r="O15" s="7">
        <f t="shared" si="0"/>
        <v>1</v>
      </c>
    </row>
    <row r="16" spans="1:19" x14ac:dyDescent="0.25">
      <c r="A16" s="6" t="s">
        <v>21</v>
      </c>
      <c r="B16" s="5" t="s">
        <v>41</v>
      </c>
      <c r="C16" s="6" t="s">
        <v>68</v>
      </c>
      <c r="D16" s="6">
        <v>3</v>
      </c>
      <c r="E16" s="6"/>
      <c r="F16" s="15">
        <v>1</v>
      </c>
      <c r="G16" s="17">
        <v>1</v>
      </c>
      <c r="H16" s="6"/>
      <c r="I16" s="6"/>
      <c r="J16" s="6"/>
      <c r="K16" s="6"/>
      <c r="L16" s="6"/>
      <c r="M16" s="6"/>
      <c r="N16" s="6"/>
      <c r="O16" s="7">
        <f t="shared" si="0"/>
        <v>1</v>
      </c>
    </row>
    <row r="17" spans="1:15" x14ac:dyDescent="0.25">
      <c r="A17" s="6" t="s">
        <v>36</v>
      </c>
      <c r="B17" s="5" t="s">
        <v>49</v>
      </c>
      <c r="C17" s="6" t="s">
        <v>51</v>
      </c>
      <c r="D17" s="6">
        <v>8</v>
      </c>
      <c r="E17" s="6"/>
      <c r="F17" s="6"/>
      <c r="G17" s="6"/>
      <c r="H17" s="6"/>
      <c r="I17" s="6"/>
      <c r="J17" s="6"/>
      <c r="K17" s="15">
        <v>2</v>
      </c>
      <c r="L17" s="15">
        <v>2</v>
      </c>
      <c r="M17" s="15">
        <v>3</v>
      </c>
      <c r="N17" s="15">
        <v>1</v>
      </c>
      <c r="O17" s="7">
        <f t="shared" si="0"/>
        <v>0</v>
      </c>
    </row>
    <row r="18" spans="1:15" x14ac:dyDescent="0.25">
      <c r="A18" s="6" t="s">
        <v>37</v>
      </c>
      <c r="B18" s="5" t="s">
        <v>49</v>
      </c>
      <c r="C18" s="6" t="s">
        <v>52</v>
      </c>
      <c r="D18" s="6">
        <v>8</v>
      </c>
      <c r="E18" s="6"/>
      <c r="F18" s="6"/>
      <c r="G18" s="6"/>
      <c r="H18" s="6"/>
      <c r="I18" s="6"/>
      <c r="J18" s="6"/>
      <c r="K18" s="15">
        <v>2</v>
      </c>
      <c r="L18" s="15">
        <v>2</v>
      </c>
      <c r="M18" s="15">
        <v>3</v>
      </c>
      <c r="N18" s="15">
        <v>1</v>
      </c>
      <c r="O18" s="7">
        <f t="shared" si="0"/>
        <v>0</v>
      </c>
    </row>
    <row r="19" spans="1:15" x14ac:dyDescent="0.25">
      <c r="A19" s="6" t="s">
        <v>33</v>
      </c>
      <c r="B19" s="5" t="s">
        <v>46</v>
      </c>
      <c r="C19" s="6" t="s">
        <v>50</v>
      </c>
      <c r="D19" s="6">
        <v>8</v>
      </c>
      <c r="E19" s="6"/>
      <c r="F19" s="6"/>
      <c r="G19" s="6"/>
      <c r="H19" s="15">
        <v>4</v>
      </c>
      <c r="I19" s="15">
        <v>3</v>
      </c>
      <c r="J19" s="6"/>
      <c r="K19" s="17">
        <v>2</v>
      </c>
      <c r="L19" s="6"/>
      <c r="M19" s="6"/>
      <c r="N19" s="6"/>
      <c r="O19" s="7">
        <f t="shared" si="0"/>
        <v>-1</v>
      </c>
    </row>
    <row r="20" spans="1:15" x14ac:dyDescent="0.25">
      <c r="A20" s="6" t="s">
        <v>34</v>
      </c>
      <c r="B20" s="5" t="s">
        <v>47</v>
      </c>
      <c r="C20" s="6" t="s">
        <v>54</v>
      </c>
      <c r="D20" s="6">
        <v>5</v>
      </c>
      <c r="E20" s="6"/>
      <c r="F20" s="6"/>
      <c r="G20" s="6"/>
      <c r="H20" s="6"/>
      <c r="I20" s="15">
        <v>4</v>
      </c>
      <c r="J20" s="6"/>
      <c r="K20" s="6"/>
      <c r="L20" s="17">
        <v>2</v>
      </c>
      <c r="M20" s="6"/>
      <c r="N20" s="6"/>
      <c r="O20" s="7">
        <f t="shared" si="0"/>
        <v>-1</v>
      </c>
    </row>
    <row r="21" spans="1:15" x14ac:dyDescent="0.25">
      <c r="A21" s="9" t="s">
        <v>35</v>
      </c>
      <c r="B21" s="8" t="s">
        <v>48</v>
      </c>
      <c r="C21" s="9" t="s">
        <v>53</v>
      </c>
      <c r="D21" s="9">
        <v>5</v>
      </c>
      <c r="E21" s="9"/>
      <c r="F21" s="9"/>
      <c r="G21" s="9"/>
      <c r="H21" s="9"/>
      <c r="I21" s="9"/>
      <c r="J21" s="19">
        <v>4</v>
      </c>
      <c r="K21" s="9"/>
      <c r="L21" s="9"/>
      <c r="M21" s="18">
        <v>2</v>
      </c>
      <c r="N21" s="9"/>
      <c r="O21" s="10">
        <f t="shared" si="0"/>
        <v>-1</v>
      </c>
    </row>
    <row r="25" spans="1:15" x14ac:dyDescent="0.25">
      <c r="C25" s="20" t="s">
        <v>93</v>
      </c>
      <c r="D25" s="21" t="s">
        <v>4</v>
      </c>
      <c r="E25" s="3" t="s">
        <v>7</v>
      </c>
      <c r="F25" s="3" t="s">
        <v>8</v>
      </c>
      <c r="G25" s="3" t="s">
        <v>9</v>
      </c>
      <c r="H25" s="3" t="s">
        <v>10</v>
      </c>
      <c r="I25" s="3" t="s">
        <v>11</v>
      </c>
      <c r="J25" s="3" t="s">
        <v>12</v>
      </c>
      <c r="K25" s="3" t="s">
        <v>13</v>
      </c>
      <c r="L25" s="3" t="s">
        <v>14</v>
      </c>
      <c r="M25" s="3" t="s">
        <v>15</v>
      </c>
      <c r="N25" s="4" t="s">
        <v>16</v>
      </c>
      <c r="O25" s="27" t="s">
        <v>92</v>
      </c>
    </row>
    <row r="26" spans="1:15" x14ac:dyDescent="0.25">
      <c r="C26" s="22" t="s">
        <v>2</v>
      </c>
      <c r="D26" s="6"/>
      <c r="E26" s="6">
        <f>SUM($D$2:$D$21)/10</f>
        <v>7.9</v>
      </c>
      <c r="F26" s="6">
        <f t="shared" ref="F26:N26" si="1">SUM($D$2:$D$21)/10</f>
        <v>7.9</v>
      </c>
      <c r="G26" s="6">
        <f t="shared" si="1"/>
        <v>7.9</v>
      </c>
      <c r="H26" s="6">
        <f t="shared" si="1"/>
        <v>7.9</v>
      </c>
      <c r="I26" s="6">
        <f t="shared" si="1"/>
        <v>7.9</v>
      </c>
      <c r="J26" s="6">
        <f t="shared" si="1"/>
        <v>7.9</v>
      </c>
      <c r="K26" s="6">
        <f t="shared" si="1"/>
        <v>7.9</v>
      </c>
      <c r="L26" s="6">
        <f t="shared" si="1"/>
        <v>7.9</v>
      </c>
      <c r="M26" s="6">
        <f t="shared" si="1"/>
        <v>7.9</v>
      </c>
      <c r="N26" s="7">
        <f t="shared" si="1"/>
        <v>7.9</v>
      </c>
      <c r="O26" s="25">
        <f>AVERAGE(Table4[[#This Row],[Day 1]:[Day 10]])</f>
        <v>7.9</v>
      </c>
    </row>
    <row r="27" spans="1:15" x14ac:dyDescent="0.25">
      <c r="C27" s="22" t="s">
        <v>6</v>
      </c>
      <c r="D27" s="6"/>
      <c r="E27" s="6">
        <f>SUM(E2:E20)</f>
        <v>6</v>
      </c>
      <c r="F27" s="6">
        <f>SUM(F2:F20)</f>
        <v>6</v>
      </c>
      <c r="G27" s="6">
        <f>SUM(G2:G20)</f>
        <v>6</v>
      </c>
      <c r="H27" s="6">
        <f>SUM(H2:H20)</f>
        <v>10</v>
      </c>
      <c r="I27" s="6">
        <f t="shared" ref="I27:N27" si="2">SUM(I2:I21)</f>
        <v>13</v>
      </c>
      <c r="J27" s="6">
        <f t="shared" si="2"/>
        <v>7</v>
      </c>
      <c r="K27" s="6">
        <f t="shared" si="2"/>
        <v>6</v>
      </c>
      <c r="L27" s="6">
        <f t="shared" si="2"/>
        <v>6</v>
      </c>
      <c r="M27" s="6">
        <f t="shared" si="2"/>
        <v>8</v>
      </c>
      <c r="N27" s="7">
        <f t="shared" si="2"/>
        <v>2</v>
      </c>
      <c r="O27" s="25">
        <f>AVERAGE(Table4[[#This Row],[Day 1]:[Day 10]])</f>
        <v>7</v>
      </c>
    </row>
    <row r="28" spans="1:15" x14ac:dyDescent="0.25">
      <c r="C28" s="22" t="s">
        <v>1</v>
      </c>
      <c r="D28" s="6">
        <f>SUM(D2:D21)</f>
        <v>79</v>
      </c>
      <c r="E28" s="6">
        <f t="shared" ref="E28:N28" si="3">D28-E27</f>
        <v>73</v>
      </c>
      <c r="F28" s="6">
        <f t="shared" si="3"/>
        <v>67</v>
      </c>
      <c r="G28" s="6">
        <f t="shared" si="3"/>
        <v>61</v>
      </c>
      <c r="H28" s="6">
        <f t="shared" si="3"/>
        <v>51</v>
      </c>
      <c r="I28" s="6">
        <f t="shared" si="3"/>
        <v>38</v>
      </c>
      <c r="J28" s="6">
        <f t="shared" si="3"/>
        <v>31</v>
      </c>
      <c r="K28" s="6">
        <f t="shared" si="3"/>
        <v>25</v>
      </c>
      <c r="L28" s="6">
        <f t="shared" si="3"/>
        <v>19</v>
      </c>
      <c r="M28" s="6">
        <f t="shared" si="3"/>
        <v>11</v>
      </c>
      <c r="N28" s="7">
        <f t="shared" si="3"/>
        <v>9</v>
      </c>
      <c r="O28" s="25"/>
    </row>
    <row r="29" spans="1:15" x14ac:dyDescent="0.25">
      <c r="C29" s="23" t="s">
        <v>3</v>
      </c>
      <c r="D29" s="9">
        <f>SUM(D2:D21)</f>
        <v>79</v>
      </c>
      <c r="E29" s="9">
        <f>D29-E26</f>
        <v>71.099999999999994</v>
      </c>
      <c r="F29" s="9">
        <f>E29-F26</f>
        <v>63.199999999999996</v>
      </c>
      <c r="G29" s="9">
        <f>F29-G26</f>
        <v>55.3</v>
      </c>
      <c r="H29" s="9">
        <f t="shared" ref="H29:N29" si="4">G29-H26</f>
        <v>47.4</v>
      </c>
      <c r="I29" s="9">
        <f t="shared" si="4"/>
        <v>39.5</v>
      </c>
      <c r="J29" s="9">
        <f t="shared" si="4"/>
        <v>31.6</v>
      </c>
      <c r="K29" s="9">
        <f t="shared" si="4"/>
        <v>23.700000000000003</v>
      </c>
      <c r="L29" s="9">
        <f t="shared" si="4"/>
        <v>15.800000000000002</v>
      </c>
      <c r="M29" s="9">
        <f t="shared" si="4"/>
        <v>7.9000000000000021</v>
      </c>
      <c r="N29" s="10">
        <f t="shared" si="4"/>
        <v>0</v>
      </c>
      <c r="O29" s="26"/>
    </row>
  </sheetData>
  <mergeCells count="1">
    <mergeCell ref="R2:S2"/>
  </mergeCells>
  <phoneticPr fontId="4" type="noConversion"/>
  <pageMargins left="0.7" right="0.7" top="0.75" bottom="0.75" header="0.3" footer="0.3"/>
  <pageSetup paperSize="9" orientation="portrait" horizontalDpi="300" verticalDpi="30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MyBooker</dc:creator>
  <cp:lastModifiedBy>MARELLA MORAD</cp:lastModifiedBy>
  <dcterms:created xsi:type="dcterms:W3CDTF">2017-03-11T18:37:14Z</dcterms:created>
  <dcterms:modified xsi:type="dcterms:W3CDTF">2023-10-06T13:13:21Z</dcterms:modified>
</cp:coreProperties>
</file>